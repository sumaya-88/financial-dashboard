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Revenue 2024" sheetId="2" state="visible" r:id="rId2"/>
    <sheet xmlns:r="http://schemas.openxmlformats.org/officeDocument/2006/relationships" name="Asset Quality" sheetId="3" state="visible" r:id="rId3"/>
    <sheet xmlns:r="http://schemas.openxmlformats.org/officeDocument/2006/relationships" name="Business Segments" sheetId="4" state="visible" r:id="rId4"/>
    <sheet xmlns:r="http://schemas.openxmlformats.org/officeDocument/2006/relationships" name="Quarterly KPIs" sheetId="5" state="visible" r:id="rId5"/>
    <sheet xmlns:r="http://schemas.openxmlformats.org/officeDocument/2006/relationships" name="Assump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%&quot;"/>
    <numFmt numFmtId="166" formatCode="0.00&quot;%&quot;"/>
    <numFmt numFmtId="167" formatCode="$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C62828"/>
      <sz val="10"/>
    </font>
    <font>
      <name val="Arial"/>
      <b val="1"/>
      <color rgb="00000000"/>
      <sz val="10"/>
    </font>
    <font>
      <name val="Arial"/>
      <b val="1"/>
      <color rgb="001B8A4E"/>
      <sz val="10"/>
    </font>
    <font>
      <name val="Arial"/>
      <b val="1"/>
      <sz val="10"/>
    </font>
    <font>
      <name val="Arial"/>
      <b val="1"/>
      <color rgb="000D1B2A"/>
      <sz val="13"/>
    </font>
    <font>
      <name val="Arial"/>
      <b val="1"/>
      <color rgb="00FFFFFF"/>
      <sz val="15"/>
    </font>
    <font>
      <name val="Arial"/>
      <b val="1"/>
      <color rgb="00F9A825"/>
      <sz val="10"/>
    </font>
    <font>
      <name val="Arial"/>
      <b val="1"/>
    </font>
    <font>
      <name val="Arial"/>
      <b val="1"/>
      <color rgb="00FFFFFF"/>
      <sz val="14"/>
    </font>
    <font>
      <name val="Arial"/>
      <b val="1"/>
      <color rgb="001B3A5C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F5F7FA"/>
      </patternFill>
    </fill>
    <fill>
      <patternFill patternType="solid">
        <fgColor rgb="00BBDE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6" fontId="8" fillId="0" borderId="2" applyAlignment="1" pivotButton="0" quotePrefix="0" xfId="0">
      <alignment horizontal="right" vertical="center"/>
    </xf>
    <xf numFmtId="166" fontId="12" fillId="4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5" fontId="12" fillId="4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165" fontId="12" fillId="0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164" fontId="13" fillId="0" borderId="0" pivotButton="0" quotePrefix="0" xfId="0"/>
    <xf numFmtId="167" fontId="13" fillId="0" borderId="0" pivotButton="0" quotePrefix="0" xfId="0"/>
    <xf numFmtId="165" fontId="13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Net Income (USD 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Summary'!B21</f>
            </strRef>
          </tx>
          <spPr>
            <a:solidFill xmlns:a="http://schemas.openxmlformats.org/drawingml/2006/main">
              <a:srgbClr val="1E88E5"/>
            </a:solidFill>
            <a:ln xmlns:a="http://schemas.openxmlformats.org/drawingml/2006/main">
              <a:prstDash val="solid"/>
            </a:ln>
          </spPr>
          <cat>
            <numRef>
              <f>'Executive Summary'!$A$22:$A$26</f>
            </numRef>
          </cat>
          <val>
            <numRef>
              <f>'Executive Summary'!$B$22:$B$26</f>
            </numRef>
          </val>
        </ser>
        <ser>
          <idx val="1"/>
          <order val="1"/>
          <tx>
            <strRef>
              <f>'Executive Summary'!C21</f>
            </strRef>
          </tx>
          <spPr>
            <a:solidFill xmlns:a="http://schemas.openxmlformats.org/drawingml/2006/main">
              <a:srgbClr val="1B8A4E"/>
            </a:solidFill>
            <a:ln xmlns:a="http://schemas.openxmlformats.org/drawingml/2006/main">
              <a:prstDash val="solid"/>
            </a:ln>
          </spPr>
          <cat>
            <numRef>
              <f>'Executive Summary'!$A$22:$A$26</f>
            </numRef>
          </cat>
          <val>
            <numRef>
              <f>'Executive Summary'!$C$22:$C$26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KPIs (%)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Summary'!J21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Summary'!$I$22:$I$26</f>
            </numRef>
          </cat>
          <val>
            <numRef>
              <f>'Executive Summary'!$J$22:$J$26</f>
            </numRef>
          </val>
        </ser>
        <ser>
          <idx val="1"/>
          <order val="1"/>
          <tx>
            <strRef>
              <f>'Executive Summary'!K21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Summary'!$I$22:$I$26</f>
            </numRef>
          </cat>
          <val>
            <numRef>
              <f>'Executive Summary'!$K$22:$K$26</f>
            </numRef>
          </val>
        </ser>
        <ser>
          <idx val="2"/>
          <order val="2"/>
          <tx>
            <strRef>
              <f>'Executive Summary'!L21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Summary'!$I$22:$I$26</f>
            </numRef>
          </cat>
          <val>
            <numRef>
              <f>'Executive Summary'!$L$22:$L$26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Net Income —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 2024'!B19</f>
            </strRef>
          </tx>
          <spPr>
            <a:solidFill xmlns:a="http://schemas.openxmlformats.org/drawingml/2006/main">
              <a:srgbClr val="1E88E5"/>
            </a:solidFill>
            <a:ln xmlns:a="http://schemas.openxmlformats.org/drawingml/2006/main">
              <a:prstDash val="solid"/>
            </a:ln>
          </spPr>
          <cat>
            <numRef>
              <f>'Monthly Revenue 2024'!$A$20:$A$31</f>
            </numRef>
          </cat>
          <val>
            <numRef>
              <f>'Monthly Revenue 2024'!$B$20:$B$31</f>
            </numRef>
          </val>
        </ser>
        <ser>
          <idx val="1"/>
          <order val="1"/>
          <tx>
            <strRef>
              <f>'Monthly Revenue 2024'!C19</f>
            </strRef>
          </tx>
          <spPr>
            <a:solidFill xmlns:a="http://schemas.openxmlformats.org/drawingml/2006/main">
              <a:srgbClr val="F9A825"/>
            </a:solidFill>
            <a:ln xmlns:a="http://schemas.openxmlformats.org/drawingml/2006/main">
              <a:prstDash val="solid"/>
            </a:ln>
          </spPr>
          <cat>
            <numRef>
              <f>'Monthly Revenue 2024'!$A$20:$A$31</f>
            </numRef>
          </cat>
          <val>
            <numRef>
              <f>'Monthly Revenue 2024'!$C$20:$C$31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Growth Trend (USD Millions)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'Asset Quality'!B12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'Asset Quality'!$A$13:$A$17</f>
            </numRef>
          </cat>
          <val>
            <numRef>
              <f>'Asset Quality'!$B$13:$B$17</f>
            </numRef>
          </val>
        </ser>
        <ser>
          <idx val="1"/>
          <order val="1"/>
          <tx>
            <strRef>
              <f>'Asset Quality'!C12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'Asset Quality'!$A$13:$A$17</f>
            </numRef>
          </cat>
          <val>
            <numRef>
              <f>'Asset Quality'!$C$13:$C$17</f>
            </numRef>
          </val>
        </ser>
        <ser>
          <idx val="2"/>
          <order val="2"/>
          <tx>
            <strRef>
              <f>'Asset Quality'!D12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'Asset Quality'!$A$13:$A$17</f>
            </numRef>
          </cat>
          <val>
            <numRef>
              <f>'Asset Quality'!$D$13:$D$17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Revenue by Business Segment</a:t>
            </a:r>
          </a:p>
        </rich>
      </tx>
    </title>
    <plotArea>
      <pieChart>
        <varyColors val="1"/>
        <ser>
          <idx val="0"/>
          <order val="0"/>
          <tx>
            <strRef>
              <f>'Business Segments'!B14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'Business Segments'!$A$15:$A$19</f>
            </numRef>
          </cat>
          <val>
            <numRef>
              <f>'Business Segments'!$B$15:$B$19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P&amp;L Overview —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KPIs'!B13</f>
            </strRef>
          </tx>
          <spPr>
            <a:solidFill xmlns:a="http://schemas.openxmlformats.org/drawingml/2006/main">
              <a:srgbClr val="1E88E5"/>
            </a:solidFill>
            <a:ln xmlns:a="http://schemas.openxmlformats.org/drawingml/2006/main">
              <a:prstDash val="solid"/>
            </a:ln>
          </spPr>
          <cat>
            <numRef>
              <f>'Quarterly KPIs'!$A$14:$A$17</f>
            </numRef>
          </cat>
          <val>
            <numRef>
              <f>'Quarterly KPIs'!$B$14:$B$17</f>
            </numRef>
          </val>
        </ser>
        <ser>
          <idx val="1"/>
          <order val="1"/>
          <tx>
            <strRef>
              <f>'Quarterly KPIs'!C13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prstDash val="solid"/>
            </a:ln>
          </spPr>
          <cat>
            <numRef>
              <f>'Quarterly KPIs'!$A$14:$A$17</f>
            </numRef>
          </cat>
          <val>
            <numRef>
              <f>'Quarterly KPIs'!$C$14:$C$17</f>
            </numRef>
          </val>
        </ser>
        <ser>
          <idx val="2"/>
          <order val="2"/>
          <tx>
            <strRef>
              <f>'Quarterly KPIs'!D13</f>
            </strRef>
          </tx>
          <spPr>
            <a:solidFill xmlns:a="http://schemas.openxmlformats.org/drawingml/2006/main">
              <a:srgbClr val="1B8A4E"/>
            </a:solidFill>
            <a:ln xmlns:a="http://schemas.openxmlformats.org/drawingml/2006/main">
              <a:prstDash val="solid"/>
            </a:ln>
          </spPr>
          <cat>
            <numRef>
              <f>'Quarterly KPIs'!$A$14:$A$17</f>
            </numRef>
          </cat>
          <val>
            <numRef>
              <f>'Quarterly KPIs'!$D$14:$D$17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 ht="30" customHeight="1">
      <c r="A1" s="1" t="inlineStr">
        <is>
          <t>APEX BANK — FINANCIAL PERFORMANCE DASHBOARD</t>
        </is>
      </c>
    </row>
    <row r="2" ht="10" customHeight="1"/>
    <row r="3" ht="18" customHeight="1">
      <c r="A3" s="2" t="inlineStr">
        <is>
          <t>Annual KPI Summary  |  FY 2020–2024  |  All figures in USD Millions</t>
        </is>
      </c>
    </row>
    <row r="5" ht="18" customHeight="1">
      <c r="A5" s="3" t="inlineStr">
        <is>
          <t>Metric</t>
        </is>
      </c>
      <c r="B5" s="3" t="inlineStr">
        <is>
          <t>2020</t>
        </is>
      </c>
      <c r="C5" s="3" t="inlineStr">
        <is>
          <t>2021</t>
        </is>
      </c>
      <c r="D5" s="3" t="inlineStr">
        <is>
          <t>2022</t>
        </is>
      </c>
      <c r="E5" s="3" t="inlineStr">
        <is>
          <t>2023</t>
        </is>
      </c>
      <c r="F5" s="3" t="inlineStr">
        <is>
          <t>2024</t>
        </is>
      </c>
      <c r="G5" s="3" t="inlineStr">
        <is>
          <t>YoY Δ</t>
        </is>
      </c>
      <c r="H5" s="3" t="inlineStr">
        <is>
          <t>5Y CAGR</t>
        </is>
      </c>
    </row>
    <row r="6" ht="18" customHeight="1">
      <c r="A6" s="4" t="inlineStr">
        <is>
          <t>Total Revenue ($M)</t>
        </is>
      </c>
      <c r="B6" s="5" t="n">
        <v>5200</v>
      </c>
      <c r="C6" s="5" t="n">
        <v>5730.81</v>
      </c>
      <c r="D6" s="5" t="n">
        <v>6079.86</v>
      </c>
      <c r="E6" s="5" t="n">
        <v>6769.89</v>
      </c>
      <c r="F6" s="5" t="n">
        <v>6678.42</v>
      </c>
      <c r="G6" s="6" t="n">
        <v>-1.4</v>
      </c>
      <c r="H6" s="7" t="n">
        <v>6.5</v>
      </c>
    </row>
    <row r="7" ht="18" customHeight="1">
      <c r="A7" s="8" t="inlineStr">
        <is>
          <t xml:space="preserve">  Interest Income ($M)</t>
        </is>
      </c>
      <c r="B7" s="9" t="n">
        <v>3000.62</v>
      </c>
      <c r="C7" s="9" t="n">
        <v>3223.49</v>
      </c>
      <c r="D7" s="9" t="n">
        <v>3352.95</v>
      </c>
      <c r="E7" s="9" t="n">
        <v>3839.28</v>
      </c>
      <c r="F7" s="9" t="n">
        <v>3853</v>
      </c>
      <c r="G7" s="10" t="n">
        <v>0.4</v>
      </c>
      <c r="H7" s="11" t="n">
        <v>6.5</v>
      </c>
    </row>
    <row r="8" ht="18" customHeight="1">
      <c r="A8" s="4" t="inlineStr">
        <is>
          <t xml:space="preserve">  Fee Income ($M)</t>
        </is>
      </c>
      <c r="B8" s="5" t="n">
        <v>1088.25</v>
      </c>
      <c r="C8" s="5" t="n">
        <v>1036.26</v>
      </c>
      <c r="D8" s="5" t="n">
        <v>1199.42</v>
      </c>
      <c r="E8" s="5" t="n">
        <v>1272.65</v>
      </c>
      <c r="F8" s="5" t="n">
        <v>1460.07</v>
      </c>
      <c r="G8" s="12" t="n">
        <v>14.7</v>
      </c>
      <c r="H8" s="7" t="n">
        <v>7.6</v>
      </c>
    </row>
    <row r="9" ht="18" customHeight="1">
      <c r="A9" s="8" t="inlineStr">
        <is>
          <t>Operating Expenses ($M)</t>
        </is>
      </c>
      <c r="B9" s="9" t="n">
        <v>2994.78</v>
      </c>
      <c r="C9" s="9" t="n">
        <v>3428.14</v>
      </c>
      <c r="D9" s="9" t="n">
        <v>3389.36</v>
      </c>
      <c r="E9" s="9" t="n">
        <v>3864.62</v>
      </c>
      <c r="F9" s="9" t="n">
        <v>3930.27</v>
      </c>
      <c r="G9" s="10" t="n">
        <v>1.7</v>
      </c>
      <c r="H9" s="11" t="n">
        <v>7</v>
      </c>
    </row>
    <row r="10" ht="18" customHeight="1">
      <c r="A10" s="4" t="inlineStr">
        <is>
          <t>Provision for Losses ($M)</t>
        </is>
      </c>
      <c r="B10" s="5" t="n">
        <v>344.45</v>
      </c>
      <c r="C10" s="5" t="n">
        <v>534.67</v>
      </c>
      <c r="D10" s="5" t="n">
        <v>513.59</v>
      </c>
      <c r="E10" s="5" t="n">
        <v>566.62</v>
      </c>
      <c r="F10" s="5" t="n">
        <v>482.08</v>
      </c>
      <c r="G10" s="6" t="n">
        <v>-14.9</v>
      </c>
      <c r="H10" s="7" t="n">
        <v>8.800000000000001</v>
      </c>
    </row>
    <row r="11" ht="18" customHeight="1">
      <c r="A11" s="13" t="inlineStr">
        <is>
          <t>EBIT ($M)</t>
        </is>
      </c>
      <c r="B11" s="14" t="n">
        <v>1860.77</v>
      </c>
      <c r="C11" s="14" t="n">
        <v>1768</v>
      </c>
      <c r="D11" s="14" t="n">
        <v>2176.91</v>
      </c>
      <c r="E11" s="14" t="n">
        <v>2338.65</v>
      </c>
      <c r="F11" s="14" t="n">
        <v>2266.06</v>
      </c>
      <c r="G11" s="15" t="n">
        <v>-3.1</v>
      </c>
      <c r="H11" s="11" t="n">
        <v>5</v>
      </c>
    </row>
    <row r="12" ht="18" customHeight="1">
      <c r="A12" s="16" t="inlineStr">
        <is>
          <t>Net Income ($M)</t>
        </is>
      </c>
      <c r="B12" s="17" t="n">
        <v>1470.01</v>
      </c>
      <c r="C12" s="17" t="n">
        <v>1396.72</v>
      </c>
      <c r="D12" s="17" t="n">
        <v>1719.76</v>
      </c>
      <c r="E12" s="17" t="n">
        <v>1847.54</v>
      </c>
      <c r="F12" s="17" t="n">
        <v>1790.19</v>
      </c>
      <c r="G12" s="6" t="n">
        <v>-3.1</v>
      </c>
      <c r="H12" s="7" t="n">
        <v>5</v>
      </c>
    </row>
    <row r="13" ht="18" customHeight="1">
      <c r="A13" s="8" t="inlineStr">
        <is>
          <t>Net Profit Margin (%)</t>
        </is>
      </c>
      <c r="B13" s="18" t="n">
        <v>28.27</v>
      </c>
      <c r="C13" s="18" t="n">
        <v>24.37</v>
      </c>
      <c r="D13" s="18" t="n">
        <v>28.29</v>
      </c>
      <c r="E13" s="18" t="n">
        <v>27.29</v>
      </c>
      <c r="F13" s="18" t="n">
        <v>26.81</v>
      </c>
      <c r="G13" s="15" t="n">
        <v>-1.8</v>
      </c>
      <c r="H13" s="11" t="n">
        <v>-1.3</v>
      </c>
    </row>
    <row r="14" ht="18" customHeight="1">
      <c r="A14" s="4" t="inlineStr">
        <is>
          <t>Cost-to-Income Ratio (%)</t>
        </is>
      </c>
      <c r="B14" s="19" t="n">
        <v>57.59</v>
      </c>
      <c r="C14" s="19" t="n">
        <v>59.82</v>
      </c>
      <c r="D14" s="19" t="n">
        <v>55.75</v>
      </c>
      <c r="E14" s="19" t="n">
        <v>57.09</v>
      </c>
      <c r="F14" s="19" t="n">
        <v>58.85</v>
      </c>
      <c r="G14" s="12" t="n">
        <v>3.1</v>
      </c>
      <c r="H14" s="7" t="n">
        <v>0.5</v>
      </c>
    </row>
    <row r="15" ht="18" customHeight="1">
      <c r="A15" s="8" t="inlineStr">
        <is>
          <t>Return on Equity (%)</t>
        </is>
      </c>
      <c r="B15" s="18" t="n">
        <v>10.94</v>
      </c>
      <c r="C15" s="18" t="n">
        <v>11.27</v>
      </c>
      <c r="D15" s="18" t="n">
        <v>10.84</v>
      </c>
      <c r="E15" s="18" t="n">
        <v>10.28</v>
      </c>
      <c r="F15" s="18" t="n">
        <v>10.59</v>
      </c>
      <c r="G15" s="10" t="n">
        <v>3</v>
      </c>
      <c r="H15" s="11" t="n">
        <v>-0.8</v>
      </c>
    </row>
    <row r="16" ht="18" customHeight="1">
      <c r="A16" s="4" t="inlineStr">
        <is>
          <t>Return on Assets (%)</t>
        </is>
      </c>
      <c r="B16" s="20" t="n">
        <v>1.05</v>
      </c>
      <c r="C16" s="20" t="n">
        <v>1.15</v>
      </c>
      <c r="D16" s="20" t="n">
        <v>1.23</v>
      </c>
      <c r="E16" s="20" t="n">
        <v>1.49</v>
      </c>
      <c r="F16" s="20" t="n">
        <v>1.55</v>
      </c>
      <c r="G16" s="12" t="n">
        <v>4</v>
      </c>
      <c r="H16" s="7" t="n">
        <v>10.2</v>
      </c>
    </row>
    <row r="17" ht="18" customHeight="1">
      <c r="A17" s="8" t="inlineStr">
        <is>
          <t>Earnings Per Share ($)</t>
        </is>
      </c>
      <c r="B17" s="21" t="n">
        <v>5.45</v>
      </c>
      <c r="C17" s="21" t="n">
        <v>3.68</v>
      </c>
      <c r="D17" s="21" t="n">
        <v>4.15</v>
      </c>
      <c r="E17" s="21" t="n">
        <v>3.64</v>
      </c>
      <c r="F17" s="21" t="n">
        <v>4.34</v>
      </c>
      <c r="G17" s="10" t="n">
        <v>19.2</v>
      </c>
      <c r="H17" s="11" t="n">
        <v>-5.5</v>
      </c>
    </row>
    <row r="18" ht="18" customHeight="1"/>
    <row r="19" ht="18" customHeight="1"/>
    <row r="20">
      <c r="A20" s="22" t="inlineStr">
        <is>
          <t>📊  Revenue &amp; Net Income Trend (2020–2024)</t>
        </is>
      </c>
      <c r="I20" s="22" t="inlineStr">
        <is>
          <t>📈  Profitability Ratios (%)</t>
        </is>
      </c>
    </row>
    <row r="22">
      <c r="A22" t="inlineStr">
        <is>
          <t>2020</t>
        </is>
      </c>
      <c r="B22" t="n">
        <v>5200</v>
      </c>
      <c r="C22" t="n">
        <v>1470.01</v>
      </c>
      <c r="I22" t="inlineStr">
        <is>
          <t>2020</t>
        </is>
      </c>
      <c r="J22" t="n">
        <v>28.27</v>
      </c>
      <c r="K22" t="n">
        <v>10.94</v>
      </c>
      <c r="L22" t="n">
        <v>1.05</v>
      </c>
    </row>
    <row r="23">
      <c r="A23" t="inlineStr">
        <is>
          <t>2021</t>
        </is>
      </c>
      <c r="B23" t="n">
        <v>5730.81</v>
      </c>
      <c r="C23" t="n">
        <v>1396.72</v>
      </c>
      <c r="I23" t="inlineStr">
        <is>
          <t>2021</t>
        </is>
      </c>
      <c r="J23" t="n">
        <v>24.37</v>
      </c>
      <c r="K23" t="n">
        <v>11.27</v>
      </c>
      <c r="L23" t="n">
        <v>1.15</v>
      </c>
    </row>
    <row r="24">
      <c r="A24" t="inlineStr">
        <is>
          <t>2022</t>
        </is>
      </c>
      <c r="B24" t="n">
        <v>6079.86</v>
      </c>
      <c r="C24" t="n">
        <v>1719.76</v>
      </c>
      <c r="I24" t="inlineStr">
        <is>
          <t>2022</t>
        </is>
      </c>
      <c r="J24" t="n">
        <v>28.29</v>
      </c>
      <c r="K24" t="n">
        <v>10.84</v>
      </c>
      <c r="L24" t="n">
        <v>1.23</v>
      </c>
    </row>
    <row r="25">
      <c r="A25" t="inlineStr">
        <is>
          <t>2023</t>
        </is>
      </c>
      <c r="B25" t="n">
        <v>6769.89</v>
      </c>
      <c r="C25" t="n">
        <v>1847.54</v>
      </c>
      <c r="I25" t="inlineStr">
        <is>
          <t>2023</t>
        </is>
      </c>
      <c r="J25" t="n">
        <v>27.29</v>
      </c>
      <c r="K25" t="n">
        <v>10.28</v>
      </c>
      <c r="L25" t="n">
        <v>1.49</v>
      </c>
    </row>
    <row r="26">
      <c r="A26" t="inlineStr">
        <is>
          <t>2024</t>
        </is>
      </c>
      <c r="B26" t="n">
        <v>6678.42</v>
      </c>
      <c r="C26" t="n">
        <v>1790.19</v>
      </c>
      <c r="I26" t="inlineStr">
        <is>
          <t>2024</t>
        </is>
      </c>
      <c r="J26" t="n">
        <v>26.81</v>
      </c>
      <c r="K26" t="n">
        <v>10.59</v>
      </c>
      <c r="L26" t="n">
        <v>1.55</v>
      </c>
    </row>
  </sheetData>
  <mergeCells count="4">
    <mergeCell ref="A3:L3"/>
    <mergeCell ref="A20:H20"/>
    <mergeCell ref="I20:M20"/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8" customHeight="1">
      <c r="A1" s="23" t="inlineStr">
        <is>
          <t>Monthly Revenue &amp; Profitability — FY 2024</t>
        </is>
      </c>
    </row>
    <row r="2"/>
    <row r="4">
      <c r="A4" s="3" t="inlineStr">
        <is>
          <t>Month</t>
        </is>
      </c>
      <c r="B4" s="3" t="inlineStr">
        <is>
          <t>Revenue ($M)</t>
        </is>
      </c>
      <c r="C4" s="3" t="inlineStr">
        <is>
          <t>Expenses ($M)</t>
        </is>
      </c>
      <c r="D4" s="3" t="inlineStr">
        <is>
          <t>Provision ($M)</t>
        </is>
      </c>
      <c r="E4" s="3" t="inlineStr">
        <is>
          <t>Net Income ($M)</t>
        </is>
      </c>
      <c r="F4" s="3" t="inlineStr">
        <is>
          <t>Margin (%)</t>
        </is>
      </c>
      <c r="G4" s="3" t="inlineStr">
        <is>
          <t>MoM Δ (%)</t>
        </is>
      </c>
    </row>
    <row r="5">
      <c r="A5" s="8" t="inlineStr">
        <is>
          <t>Jan</t>
        </is>
      </c>
      <c r="B5" s="9" t="n">
        <v>534.01</v>
      </c>
      <c r="C5" s="9" t="n">
        <v>304.23</v>
      </c>
      <c r="D5" s="9" t="n">
        <v>32.59</v>
      </c>
      <c r="E5" s="9" t="n">
        <v>155.78</v>
      </c>
      <c r="F5" s="18" t="n">
        <v>29.17</v>
      </c>
      <c r="G5" t="inlineStr">
        <is>
          <t>—</t>
        </is>
      </c>
    </row>
    <row r="6">
      <c r="A6" s="4" t="inlineStr">
        <is>
          <t>Feb</t>
        </is>
      </c>
      <c r="B6" s="5" t="n">
        <v>604.11</v>
      </c>
      <c r="C6" s="5" t="n">
        <v>335.6</v>
      </c>
      <c r="D6" s="5" t="n">
        <v>48.25</v>
      </c>
      <c r="E6" s="5" t="n">
        <v>174</v>
      </c>
      <c r="F6" s="19" t="n">
        <v>28.8</v>
      </c>
      <c r="G6" s="12" t="n">
        <v>13.1</v>
      </c>
    </row>
    <row r="7">
      <c r="A7" s="8" t="inlineStr">
        <is>
          <t>Mar</t>
        </is>
      </c>
      <c r="B7" s="9" t="n">
        <v>550.9</v>
      </c>
      <c r="C7" s="9" t="n">
        <v>314.68</v>
      </c>
      <c r="D7" s="9" t="n">
        <v>42.09</v>
      </c>
      <c r="E7" s="9" t="n">
        <v>153.37</v>
      </c>
      <c r="F7" s="18" t="n">
        <v>27.84</v>
      </c>
      <c r="G7" s="15" t="n">
        <v>-8.800000000000001</v>
      </c>
    </row>
    <row r="8">
      <c r="A8" s="4" t="inlineStr">
        <is>
          <t>Apr</t>
        </is>
      </c>
      <c r="B8" s="5" t="n">
        <v>539.6</v>
      </c>
      <c r="C8" s="5" t="n">
        <v>322.78</v>
      </c>
      <c r="D8" s="5" t="n">
        <v>44.92</v>
      </c>
      <c r="E8" s="5" t="n">
        <v>135.8</v>
      </c>
      <c r="F8" s="19" t="n">
        <v>25.17</v>
      </c>
      <c r="G8" s="6" t="n">
        <v>-2.1</v>
      </c>
    </row>
    <row r="9">
      <c r="A9" s="8" t="inlineStr">
        <is>
          <t>May</t>
        </is>
      </c>
      <c r="B9" s="9" t="n">
        <v>606.8</v>
      </c>
      <c r="C9" s="9" t="n">
        <v>360.25</v>
      </c>
      <c r="D9" s="9" t="n">
        <v>47.29</v>
      </c>
      <c r="E9" s="9" t="n">
        <v>157.41</v>
      </c>
      <c r="F9" s="18" t="n">
        <v>25.94</v>
      </c>
      <c r="G9" s="10" t="n">
        <v>12.5</v>
      </c>
    </row>
    <row r="10">
      <c r="A10" s="4" t="inlineStr">
        <is>
          <t>Jun</t>
        </is>
      </c>
      <c r="B10" s="5" t="n">
        <v>605.23</v>
      </c>
      <c r="C10" s="5" t="n">
        <v>330.04</v>
      </c>
      <c r="D10" s="5" t="n">
        <v>39.87</v>
      </c>
      <c r="E10" s="5" t="n">
        <v>185.9</v>
      </c>
      <c r="F10" s="19" t="n">
        <v>30.72</v>
      </c>
      <c r="G10" s="6" t="n">
        <v>-0.3</v>
      </c>
    </row>
    <row r="11">
      <c r="A11" s="8" t="inlineStr">
        <is>
          <t>Jul</t>
        </is>
      </c>
      <c r="B11" s="9" t="n">
        <v>527.17</v>
      </c>
      <c r="C11" s="9" t="n">
        <v>294.96</v>
      </c>
      <c r="D11" s="9" t="n">
        <v>37.78</v>
      </c>
      <c r="E11" s="9" t="n">
        <v>153.6</v>
      </c>
      <c r="F11" s="18" t="n">
        <v>29.14</v>
      </c>
      <c r="G11" s="15" t="n">
        <v>-12.9</v>
      </c>
    </row>
    <row r="12">
      <c r="A12" s="4" t="inlineStr">
        <is>
          <t>Aug</t>
        </is>
      </c>
      <c r="B12" s="5" t="n">
        <v>547.3099999999999</v>
      </c>
      <c r="C12" s="5" t="n">
        <v>322.76</v>
      </c>
      <c r="D12" s="5" t="n">
        <v>38.7</v>
      </c>
      <c r="E12" s="5" t="n">
        <v>146.82</v>
      </c>
      <c r="F12" s="19" t="n">
        <v>26.83</v>
      </c>
      <c r="G12" s="12" t="n">
        <v>3.8</v>
      </c>
    </row>
    <row r="13">
      <c r="A13" s="8" t="inlineStr">
        <is>
          <t>Sep</t>
        </is>
      </c>
      <c r="B13" s="9" t="n">
        <v>548.16</v>
      </c>
      <c r="C13" s="9" t="n">
        <v>313.85</v>
      </c>
      <c r="D13" s="9" t="n">
        <v>35.21</v>
      </c>
      <c r="E13" s="9" t="n">
        <v>157.29</v>
      </c>
      <c r="F13" s="18" t="n">
        <v>28.69</v>
      </c>
      <c r="G13" s="10" t="n">
        <v>0.2</v>
      </c>
    </row>
    <row r="14">
      <c r="A14" s="4" t="inlineStr">
        <is>
          <t>Oct</t>
        </is>
      </c>
      <c r="B14" s="5" t="n">
        <v>594.58</v>
      </c>
      <c r="C14" s="5" t="n">
        <v>323.73</v>
      </c>
      <c r="D14" s="5" t="n">
        <v>53.28</v>
      </c>
      <c r="E14" s="5" t="n">
        <v>171.88</v>
      </c>
      <c r="F14" s="19" t="n">
        <v>28.91</v>
      </c>
      <c r="G14" s="12" t="n">
        <v>8.5</v>
      </c>
    </row>
    <row r="15">
      <c r="A15" s="8" t="inlineStr">
        <is>
          <t>Nov</t>
        </is>
      </c>
      <c r="B15" s="9" t="n">
        <v>591.91</v>
      </c>
      <c r="C15" s="9" t="n">
        <v>326.69</v>
      </c>
      <c r="D15" s="9" t="n">
        <v>35.61</v>
      </c>
      <c r="E15" s="9" t="n">
        <v>181.39</v>
      </c>
      <c r="F15" s="18" t="n">
        <v>30.65</v>
      </c>
      <c r="G15" s="15" t="n">
        <v>-0.4</v>
      </c>
    </row>
    <row r="16">
      <c r="A16" s="4" t="inlineStr">
        <is>
          <t>Dec</t>
        </is>
      </c>
      <c r="B16" s="5" t="n">
        <v>595.76</v>
      </c>
      <c r="C16" s="5" t="n">
        <v>346.98</v>
      </c>
      <c r="D16" s="5" t="n">
        <v>48.77</v>
      </c>
      <c r="E16" s="5" t="n">
        <v>158</v>
      </c>
      <c r="F16" s="19" t="n">
        <v>26.52</v>
      </c>
      <c r="G16" s="12" t="n">
        <v>0.7</v>
      </c>
    </row>
    <row r="17">
      <c r="A17" s="13" t="inlineStr">
        <is>
          <t>TOTAL / AVG</t>
        </is>
      </c>
      <c r="B17" s="14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1">
        <f>AVERAGE(F5:F16)</f>
        <v/>
      </c>
    </row>
    <row r="20">
      <c r="A20" t="inlineStr">
        <is>
          <t>Jan</t>
        </is>
      </c>
      <c r="B20" t="n">
        <v>534.01</v>
      </c>
      <c r="C20" t="n">
        <v>155.78</v>
      </c>
    </row>
    <row r="21">
      <c r="A21" t="inlineStr">
        <is>
          <t>Feb</t>
        </is>
      </c>
      <c r="B21" t="n">
        <v>604.11</v>
      </c>
      <c r="C21" t="n">
        <v>174</v>
      </c>
    </row>
    <row r="22">
      <c r="A22" t="inlineStr">
        <is>
          <t>Mar</t>
        </is>
      </c>
      <c r="B22" t="n">
        <v>550.9</v>
      </c>
      <c r="C22" t="n">
        <v>153.37</v>
      </c>
    </row>
    <row r="23">
      <c r="A23" t="inlineStr">
        <is>
          <t>Apr</t>
        </is>
      </c>
      <c r="B23" t="n">
        <v>539.6</v>
      </c>
      <c r="C23" t="n">
        <v>135.8</v>
      </c>
    </row>
    <row r="24">
      <c r="A24" t="inlineStr">
        <is>
          <t>May</t>
        </is>
      </c>
      <c r="B24" t="n">
        <v>606.8</v>
      </c>
      <c r="C24" t="n">
        <v>157.41</v>
      </c>
    </row>
    <row r="25">
      <c r="A25" t="inlineStr">
        <is>
          <t>Jun</t>
        </is>
      </c>
      <c r="B25" t="n">
        <v>605.23</v>
      </c>
      <c r="C25" t="n">
        <v>185.9</v>
      </c>
    </row>
    <row r="26">
      <c r="A26" t="inlineStr">
        <is>
          <t>Jul</t>
        </is>
      </c>
      <c r="B26" t="n">
        <v>527.17</v>
      </c>
      <c r="C26" t="n">
        <v>153.6</v>
      </c>
    </row>
    <row r="27">
      <c r="A27" t="inlineStr">
        <is>
          <t>Aug</t>
        </is>
      </c>
      <c r="B27" t="n">
        <v>547.3099999999999</v>
      </c>
      <c r="C27" t="n">
        <v>146.82</v>
      </c>
    </row>
    <row r="28">
      <c r="A28" t="inlineStr">
        <is>
          <t>Sep</t>
        </is>
      </c>
      <c r="B28" t="n">
        <v>548.16</v>
      </c>
      <c r="C28" t="n">
        <v>157.29</v>
      </c>
    </row>
    <row r="29">
      <c r="A29" t="inlineStr">
        <is>
          <t>Oct</t>
        </is>
      </c>
      <c r="B29" t="n">
        <v>594.58</v>
      </c>
      <c r="C29" t="n">
        <v>171.88</v>
      </c>
    </row>
    <row r="30">
      <c r="A30" t="inlineStr">
        <is>
          <t>Nov</t>
        </is>
      </c>
      <c r="B30" t="n">
        <v>591.91</v>
      </c>
      <c r="C30" t="n">
        <v>181.39</v>
      </c>
    </row>
    <row r="31">
      <c r="A31" t="inlineStr">
        <is>
          <t>Dec</t>
        </is>
      </c>
      <c r="B31" t="n">
        <v>595.76</v>
      </c>
      <c r="C31" t="n">
        <v>158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 ht="28" customHeight="1">
      <c r="A1" s="24" t="inlineStr">
        <is>
          <t>Asset Quality &amp; Balance Sheet Metrics — 2020 to 2024</t>
        </is>
      </c>
    </row>
    <row r="2"/>
    <row r="4">
      <c r="A4" s="3" t="inlineStr">
        <is>
          <t>Year</t>
        </is>
      </c>
      <c r="B4" s="3" t="inlineStr">
        <is>
          <t>Total Assets ($M)</t>
        </is>
      </c>
      <c r="C4" s="3" t="inlineStr">
        <is>
          <t>Total Loans ($M)</t>
        </is>
      </c>
      <c r="D4" s="3" t="inlineStr">
        <is>
          <t>Deposits ($M)</t>
        </is>
      </c>
      <c r="E4" s="3" t="inlineStr">
        <is>
          <t>NPL Ratio (%)</t>
        </is>
      </c>
      <c r="F4" s="3" t="inlineStr">
        <is>
          <t>Capital Adequacy (%)</t>
        </is>
      </c>
      <c r="G4" s="3" t="inlineStr">
        <is>
          <t>Liquidity Ratio (%)</t>
        </is>
      </c>
      <c r="H4" s="3" t="inlineStr">
        <is>
          <t>Loan/Deposit (%)</t>
        </is>
      </c>
    </row>
    <row r="5">
      <c r="A5" s="8" t="inlineStr">
        <is>
          <t>2020</t>
        </is>
      </c>
      <c r="B5" s="9" t="n">
        <v>85000</v>
      </c>
      <c r="C5" s="9" t="n">
        <v>51377.63</v>
      </c>
      <c r="D5" s="9" t="n">
        <v>61328.18</v>
      </c>
      <c r="E5" s="25" t="n">
        <v>1.47</v>
      </c>
      <c r="F5" s="10" t="n">
        <v>16.52</v>
      </c>
      <c r="G5" s="18" t="n">
        <v>135.58</v>
      </c>
      <c r="H5" s="18" t="n">
        <v>83.77</v>
      </c>
    </row>
    <row r="6">
      <c r="A6" s="4" t="inlineStr">
        <is>
          <t>2021</t>
        </is>
      </c>
      <c r="B6" s="5" t="n">
        <v>89992.69</v>
      </c>
      <c r="C6" s="5" t="n">
        <v>54338.8</v>
      </c>
      <c r="D6" s="5" t="n">
        <v>64674.05</v>
      </c>
      <c r="E6" s="26" t="n">
        <v>1.95</v>
      </c>
      <c r="F6" s="12" t="n">
        <v>16.05</v>
      </c>
      <c r="G6" s="19" t="n">
        <v>135.94</v>
      </c>
      <c r="H6" s="19" t="n">
        <v>84.02</v>
      </c>
    </row>
    <row r="7">
      <c r="A7" s="8" t="inlineStr">
        <is>
          <t>2022</t>
        </is>
      </c>
      <c r="B7" s="9" t="n">
        <v>98323.28</v>
      </c>
      <c r="C7" s="9" t="n">
        <v>61779.75</v>
      </c>
      <c r="D7" s="9" t="n">
        <v>69531.83</v>
      </c>
      <c r="E7" s="27" t="n">
        <v>2.84</v>
      </c>
      <c r="F7" s="10" t="n">
        <v>16.16</v>
      </c>
      <c r="G7" s="18" t="n">
        <v>134.03</v>
      </c>
      <c r="H7" s="18" t="n">
        <v>88.84999999999999</v>
      </c>
    </row>
    <row r="8">
      <c r="A8" s="4" t="inlineStr">
        <is>
          <t>2023</t>
        </is>
      </c>
      <c r="B8" s="5" t="n">
        <v>103938.7</v>
      </c>
      <c r="C8" s="5" t="n">
        <v>65442.69</v>
      </c>
      <c r="D8" s="5" t="n">
        <v>76017.02</v>
      </c>
      <c r="E8" s="26" t="n">
        <v>2.18</v>
      </c>
      <c r="F8" s="28" t="n">
        <v>13.59</v>
      </c>
      <c r="G8" s="19" t="n">
        <v>122.7</v>
      </c>
      <c r="H8" s="19" t="n">
        <v>86.09</v>
      </c>
    </row>
    <row r="9">
      <c r="A9" s="8" t="inlineStr">
        <is>
          <t>2024</t>
        </is>
      </c>
      <c r="B9" s="9" t="n">
        <v>101377.15</v>
      </c>
      <c r="C9" s="9" t="n">
        <v>64697.34</v>
      </c>
      <c r="D9" s="9" t="n">
        <v>72876.12</v>
      </c>
      <c r="E9" s="29" t="n">
        <v>2.37</v>
      </c>
      <c r="F9" s="10" t="n">
        <v>16.68</v>
      </c>
      <c r="G9" s="18" t="n">
        <v>126.23</v>
      </c>
      <c r="H9" s="18" t="n">
        <v>88.78</v>
      </c>
    </row>
    <row r="13">
      <c r="A13" t="inlineStr">
        <is>
          <t>2020</t>
        </is>
      </c>
      <c r="B13" t="n">
        <v>85000</v>
      </c>
      <c r="C13" t="n">
        <v>51377.63</v>
      </c>
      <c r="D13" t="n">
        <v>61328.18</v>
      </c>
    </row>
    <row r="14">
      <c r="A14" t="inlineStr">
        <is>
          <t>2021</t>
        </is>
      </c>
      <c r="B14" t="n">
        <v>89992.69</v>
      </c>
      <c r="C14" t="n">
        <v>54338.8</v>
      </c>
      <c r="D14" t="n">
        <v>64674.05</v>
      </c>
    </row>
    <row r="15">
      <c r="A15" t="inlineStr">
        <is>
          <t>2022</t>
        </is>
      </c>
      <c r="B15" t="n">
        <v>98323.28</v>
      </c>
      <c r="C15" t="n">
        <v>61779.75</v>
      </c>
      <c r="D15" t="n">
        <v>69531.83</v>
      </c>
    </row>
    <row r="16">
      <c r="A16" t="inlineStr">
        <is>
          <t>2023</t>
        </is>
      </c>
      <c r="B16" t="n">
        <v>103938.7</v>
      </c>
      <c r="C16" t="n">
        <v>65442.69</v>
      </c>
      <c r="D16" t="n">
        <v>76017.02</v>
      </c>
    </row>
    <row r="17">
      <c r="A17" t="inlineStr">
        <is>
          <t>2024</t>
        </is>
      </c>
      <c r="B17" t="n">
        <v>101377.15</v>
      </c>
      <c r="C17" t="n">
        <v>64697.34</v>
      </c>
      <c r="D17" t="n">
        <v>72876.12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23" t="inlineStr">
        <is>
          <t>Business Segment Revenue Analysis — 2020 to 2024</t>
        </is>
      </c>
    </row>
    <row r="2"/>
    <row r="4">
      <c r="A4" s="3" t="inlineStr">
        <is>
          <t>Business Segment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5Y Total</t>
        </is>
      </c>
      <c r="H4" s="3" t="inlineStr">
        <is>
          <t>Share (%)</t>
        </is>
      </c>
    </row>
    <row r="5">
      <c r="A5" s="13" t="inlineStr">
        <is>
          <t>Corporate Banking</t>
        </is>
      </c>
      <c r="B5" s="9" t="n">
        <v>630.4</v>
      </c>
      <c r="C5" s="9" t="n">
        <v>1166.6</v>
      </c>
      <c r="D5" s="9" t="n">
        <v>1329.5</v>
      </c>
      <c r="E5" s="9" t="n">
        <v>578.9</v>
      </c>
      <c r="F5" s="9" t="n">
        <v>407.9</v>
      </c>
      <c r="G5" s="14" t="n">
        <v>4113.4</v>
      </c>
      <c r="H5" s="11" t="n">
        <v>6.1</v>
      </c>
    </row>
    <row r="6">
      <c r="A6" s="16" t="inlineStr">
        <is>
          <t>Investment Banking</t>
        </is>
      </c>
      <c r="B6" s="5" t="n">
        <v>637.6</v>
      </c>
      <c r="C6" s="5" t="n">
        <v>131.7</v>
      </c>
      <c r="D6" s="5" t="n">
        <v>1369.6</v>
      </c>
      <c r="E6" s="5" t="n">
        <v>2724.4</v>
      </c>
      <c r="F6" s="5" t="n">
        <v>684.9</v>
      </c>
      <c r="G6" s="17" t="n">
        <v>5548.2</v>
      </c>
      <c r="H6" s="7" t="n">
        <v>10.3</v>
      </c>
    </row>
    <row r="7">
      <c r="A7" s="13" t="inlineStr">
        <is>
          <t>Retail Banking</t>
        </is>
      </c>
      <c r="B7" s="9" t="n">
        <v>1944.6</v>
      </c>
      <c r="C7" s="9" t="n">
        <v>1665.8</v>
      </c>
      <c r="D7" s="9" t="n">
        <v>1623.3</v>
      </c>
      <c r="E7" s="9" t="n">
        <v>1998.4</v>
      </c>
      <c r="F7" s="9" t="n">
        <v>1338.8</v>
      </c>
      <c r="G7" s="14" t="n">
        <v>8571</v>
      </c>
      <c r="H7" s="11" t="n">
        <v>20</v>
      </c>
    </row>
    <row r="8">
      <c r="A8" s="16" t="inlineStr">
        <is>
          <t>Treasury</t>
        </is>
      </c>
      <c r="B8" s="5" t="n">
        <v>1474.1</v>
      </c>
      <c r="C8" s="5" t="n">
        <v>1681.9</v>
      </c>
      <c r="D8" s="5" t="n">
        <v>1444</v>
      </c>
      <c r="E8" s="5" t="n">
        <v>712.7</v>
      </c>
      <c r="F8" s="5" t="n">
        <v>2914.6</v>
      </c>
      <c r="G8" s="17" t="n">
        <v>8227.4</v>
      </c>
      <c r="H8" s="7" t="n">
        <v>43.6</v>
      </c>
    </row>
    <row r="9">
      <c r="A9" s="13" t="inlineStr">
        <is>
          <t>Wealth Management</t>
        </is>
      </c>
      <c r="B9" s="9" t="n">
        <v>513.3</v>
      </c>
      <c r="C9" s="9" t="n">
        <v>1084.7</v>
      </c>
      <c r="D9" s="9" t="n">
        <v>313.4</v>
      </c>
      <c r="E9" s="9" t="n">
        <v>755.5</v>
      </c>
      <c r="F9" s="9" t="n">
        <v>1332.1</v>
      </c>
      <c r="G9" s="14" t="n">
        <v>3999</v>
      </c>
      <c r="H9" s="11" t="n">
        <v>19.9</v>
      </c>
    </row>
    <row r="15">
      <c r="A15" t="inlineStr">
        <is>
          <t>Treasury</t>
        </is>
      </c>
      <c r="B15" t="n">
        <v>2914.61</v>
      </c>
    </row>
    <row r="16">
      <c r="A16" t="inlineStr">
        <is>
          <t>Retail Banking</t>
        </is>
      </c>
      <c r="B16" t="n">
        <v>1338.84</v>
      </c>
    </row>
    <row r="17">
      <c r="A17" t="inlineStr">
        <is>
          <t>Wealth Management</t>
        </is>
      </c>
      <c r="B17" t="n">
        <v>1332.13</v>
      </c>
    </row>
    <row r="18">
      <c r="A18" t="inlineStr">
        <is>
          <t>Investment Banking</t>
        </is>
      </c>
      <c r="B18" t="n">
        <v>684.9</v>
      </c>
    </row>
    <row r="19">
      <c r="A19" t="inlineStr">
        <is>
          <t>Corporate Banking</t>
        </is>
      </c>
      <c r="B19" t="n">
        <v>407.94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24" t="inlineStr">
        <is>
          <t>Quarterly KPI Scorecard — FY 2024</t>
        </is>
      </c>
    </row>
    <row r="2"/>
    <row r="4">
      <c r="A4" s="3" t="inlineStr">
        <is>
          <t>Quarter</t>
        </is>
      </c>
      <c r="B4" s="3" t="inlineStr">
        <is>
          <t>Revenue ($M)</t>
        </is>
      </c>
      <c r="C4" s="3" t="inlineStr">
        <is>
          <t>Expenses ($M)</t>
        </is>
      </c>
      <c r="D4" s="3" t="inlineStr">
        <is>
          <t>Net Income ($M)</t>
        </is>
      </c>
      <c r="E4" s="3" t="inlineStr">
        <is>
          <t>EPS ($)</t>
        </is>
      </c>
      <c r="F4" s="3" t="inlineStr">
        <is>
          <t>ROE (%)</t>
        </is>
      </c>
      <c r="G4" s="3" t="inlineStr">
        <is>
          <t>Exp. Ratio (%)</t>
        </is>
      </c>
    </row>
    <row r="5">
      <c r="A5" s="13" t="inlineStr">
        <is>
          <t>Q1</t>
        </is>
      </c>
      <c r="B5" s="9" t="n">
        <v>1718.02</v>
      </c>
      <c r="C5" s="9" t="n">
        <v>997.9299999999999</v>
      </c>
      <c r="D5" s="9" t="n">
        <v>568.87</v>
      </c>
      <c r="E5" s="21" t="n">
        <v>1.38</v>
      </c>
      <c r="F5" s="18" t="n">
        <v>13.12</v>
      </c>
      <c r="G5" s="30" t="n">
        <v>58.1</v>
      </c>
    </row>
    <row r="6">
      <c r="A6" s="16" t="inlineStr">
        <is>
          <t>Q2</t>
        </is>
      </c>
      <c r="B6" s="5" t="n">
        <v>1613.3</v>
      </c>
      <c r="C6" s="5" t="n">
        <v>878.6900000000001</v>
      </c>
      <c r="D6" s="5" t="n">
        <v>580.34</v>
      </c>
      <c r="E6" s="31" t="n">
        <v>1.55</v>
      </c>
      <c r="F6" s="19" t="n">
        <v>14.6</v>
      </c>
      <c r="G6" s="12" t="n">
        <v>54.5</v>
      </c>
    </row>
    <row r="7">
      <c r="A7" s="13" t="inlineStr">
        <is>
          <t>Q3</t>
        </is>
      </c>
      <c r="B7" s="9" t="n">
        <v>1711.29</v>
      </c>
      <c r="C7" s="9" t="n">
        <v>953.1</v>
      </c>
      <c r="D7" s="9" t="n">
        <v>598.96</v>
      </c>
      <c r="E7" s="21" t="n">
        <v>1.27</v>
      </c>
      <c r="F7" s="18" t="n">
        <v>13.9</v>
      </c>
      <c r="G7" s="10" t="n">
        <v>55.7</v>
      </c>
    </row>
    <row r="8">
      <c r="A8" s="16" t="inlineStr">
        <is>
          <t>Q4</t>
        </is>
      </c>
      <c r="B8" s="5" t="n">
        <v>1777.41</v>
      </c>
      <c r="C8" s="5" t="n">
        <v>1038.63</v>
      </c>
      <c r="D8" s="5" t="n">
        <v>583.63</v>
      </c>
      <c r="E8" s="31" t="n">
        <v>1.49</v>
      </c>
      <c r="F8" s="19" t="n">
        <v>13.57</v>
      </c>
      <c r="G8" s="28" t="n">
        <v>58.4</v>
      </c>
    </row>
    <row r="9">
      <c r="A9" s="13" t="inlineStr">
        <is>
          <t>FULL YEAR 2024</t>
        </is>
      </c>
      <c r="B9" s="32">
        <f>SUM(B5:B8)</f>
        <v/>
      </c>
      <c r="C9" s="32">
        <f>SUM(C5:C8)</f>
        <v/>
      </c>
      <c r="D9" s="32">
        <f>SUM(D5:D8)</f>
        <v/>
      </c>
      <c r="E9" s="33">
        <f>SUM(E5:E8)</f>
        <v/>
      </c>
      <c r="F9" s="34">
        <f>AVERAGE(F5:F8)</f>
        <v/>
      </c>
    </row>
    <row r="14">
      <c r="A14" t="inlineStr">
        <is>
          <t>Q1</t>
        </is>
      </c>
      <c r="B14" t="n">
        <v>1718.02</v>
      </c>
      <c r="C14" t="n">
        <v>997.9299999999999</v>
      </c>
      <c r="D14" t="n">
        <v>568.87</v>
      </c>
    </row>
    <row r="15">
      <c r="A15" t="inlineStr">
        <is>
          <t>Q2</t>
        </is>
      </c>
      <c r="B15" t="n">
        <v>1613.3</v>
      </c>
      <c r="C15" t="n">
        <v>878.6900000000001</v>
      </c>
      <c r="D15" t="n">
        <v>580.34</v>
      </c>
    </row>
    <row r="16">
      <c r="A16" t="inlineStr">
        <is>
          <t>Q3</t>
        </is>
      </c>
      <c r="B16" t="n">
        <v>1711.29</v>
      </c>
      <c r="C16" t="n">
        <v>953.1</v>
      </c>
      <c r="D16" t="n">
        <v>598.96</v>
      </c>
    </row>
    <row r="17">
      <c r="A17" t="inlineStr">
        <is>
          <t>Q4</t>
        </is>
      </c>
      <c r="B17" t="n">
        <v>1777.41</v>
      </c>
      <c r="C17" t="n">
        <v>1038.63</v>
      </c>
      <c r="D17" t="n">
        <v>583.63</v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  <col width="10" customWidth="1" min="4" max="4"/>
  </cols>
  <sheetData>
    <row r="1">
      <c r="A1" s="35" t="inlineStr">
        <is>
          <t>Model Assumptions, Color Coding &amp; Data Sources</t>
        </is>
      </c>
    </row>
    <row r="2"/>
    <row r="5">
      <c r="A5" s="36" t="inlineStr">
        <is>
          <t>COLOR CODING LEGEND</t>
        </is>
      </c>
    </row>
    <row r="6">
      <c r="A6" s="37" t="inlineStr">
        <is>
          <t>Blue text</t>
        </is>
      </c>
      <c r="B6" s="38" t="inlineStr">
        <is>
          <t>Hardcoded input assumptions (user-editable)</t>
        </is>
      </c>
    </row>
    <row r="7">
      <c r="A7" s="37" t="inlineStr">
        <is>
          <t>Black text</t>
        </is>
      </c>
      <c r="B7" s="38" t="inlineStr">
        <is>
          <t>Excel formulas and calculated values</t>
        </is>
      </c>
    </row>
    <row r="8">
      <c r="A8" s="37" t="inlineStr">
        <is>
          <t>Green text</t>
        </is>
      </c>
      <c r="B8" s="38" t="inlineStr">
        <is>
          <t>Links pulling from other worksheets</t>
        </is>
      </c>
    </row>
    <row r="9">
      <c r="A9" s="37" t="inlineStr">
        <is>
          <t>Red text</t>
        </is>
      </c>
      <c r="B9" s="38" t="inlineStr">
        <is>
          <t>External links to other files</t>
        </is>
      </c>
    </row>
    <row r="10">
      <c r="A10" s="37" t="inlineStr">
        <is>
          <t>Yellow background</t>
        </is>
      </c>
      <c r="B10" s="38" t="inlineStr">
        <is>
          <t>Key cells requiring attention</t>
        </is>
      </c>
    </row>
    <row r="12">
      <c r="A12" s="36" t="inlineStr">
        <is>
          <t>MODEL ASSUMPTIONS</t>
        </is>
      </c>
    </row>
    <row r="13">
      <c r="A13" s="37" t="inlineStr">
        <is>
          <t>Tax Rate</t>
        </is>
      </c>
      <c r="B13" s="38" t="inlineStr">
        <is>
          <t>21.0% (US corporate tax rate)</t>
        </is>
      </c>
    </row>
    <row r="14">
      <c r="A14" s="37" t="inlineStr">
        <is>
          <t>Base Revenue</t>
        </is>
      </c>
      <c r="B14" s="38" t="inlineStr">
        <is>
          <t>$5,200M (FY2020 starting point)</t>
        </is>
      </c>
    </row>
    <row r="15">
      <c r="A15" s="37" t="inlineStr">
        <is>
          <t>Revenue Growth</t>
        </is>
      </c>
      <c r="B15" s="38" t="inlineStr">
        <is>
          <t>Modeled as 6–13% CAGR per year</t>
        </is>
      </c>
    </row>
    <row r="16">
      <c r="A16" s="37" t="inlineStr">
        <is>
          <t>Cost-to-Income</t>
        </is>
      </c>
      <c r="B16" s="38" t="inlineStr">
        <is>
          <t>Modeled at 54–60% of revenue</t>
        </is>
      </c>
    </row>
    <row r="17">
      <c r="A17" s="37" t="inlineStr">
        <is>
          <t>Provision Rate</t>
        </is>
      </c>
      <c r="B17" s="38" t="inlineStr">
        <is>
          <t>6–10% of revenue</t>
        </is>
      </c>
    </row>
    <row r="18">
      <c r="A18" s="37" t="inlineStr">
        <is>
          <t>Loan/Asset Ratio</t>
        </is>
      </c>
      <c r="B18" s="38" t="inlineStr">
        <is>
          <t>60–66% of total assets</t>
        </is>
      </c>
    </row>
    <row r="19">
      <c r="A19" s="37" t="inlineStr">
        <is>
          <t>Deposit/Asset Ratio</t>
        </is>
      </c>
      <c r="B19" s="38" t="inlineStr">
        <is>
          <t>70–76% of total assets</t>
        </is>
      </c>
    </row>
    <row r="21">
      <c r="A21" s="36" t="inlineStr">
        <is>
          <t>DATA SOURCES</t>
        </is>
      </c>
    </row>
    <row r="22">
      <c r="A22" s="37" t="inlineStr">
        <is>
          <t>All data is synthetic</t>
        </is>
      </c>
      <c r="B22" s="38" t="inlineStr">
        <is>
          <t>Generated for demonstration purposes only</t>
        </is>
      </c>
    </row>
    <row r="23">
      <c r="A23" s="37" t="inlineStr">
        <is>
          <t>Benchmark reference</t>
        </is>
      </c>
      <c r="B23" s="38" t="inlineStr">
        <is>
          <t>Source: FDIC Statistics on Depository Institutions 2024</t>
        </is>
      </c>
    </row>
    <row r="24">
      <c r="A24" s="37" t="inlineStr">
        <is>
          <t>Regulatory thresholds</t>
        </is>
      </c>
      <c r="B24" s="38" t="inlineStr">
        <is>
          <t>Capital Adequacy &gt; 10.5% (Basel III CET1)</t>
        </is>
      </c>
    </row>
    <row r="25">
      <c r="A25" s="37" t="inlineStr">
        <is>
          <t>NPL benchmark</t>
        </is>
      </c>
      <c r="B25" s="38" t="inlineStr">
        <is>
          <t>Industry average NPL ratio ~1.5%–2.5% (FDIC 2024)</t>
        </is>
      </c>
    </row>
  </sheetData>
  <mergeCells count="20">
    <mergeCell ref="A5:D5"/>
    <mergeCell ref="A1:D2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7:D7"/>
    <mergeCell ref="B25:D25"/>
    <mergeCell ref="B16:D16"/>
    <mergeCell ref="A12:D12"/>
    <mergeCell ref="B22:D22"/>
    <mergeCell ref="A21:D21"/>
    <mergeCell ref="B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2026-04-14T17:30:34Z</dcterms:created>
  <dcterms:modified xmlns:dcterms="http://purl.org/dc/terms/" xmlns:xsi="http://www.w3.org/2001/XMLSchema-instance" xsi:type="dcterms:W3CDTF">2026-04-14T17:30:34Z</dcterms:modified>
</cp:coreProperties>
</file>